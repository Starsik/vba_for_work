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ЭтаКнига" defaultThemeVersion="124226"/>
  <bookViews>
    <workbookView xWindow="-15" yWindow="-15" windowWidth="14520" windowHeight="12165"/>
  </bookViews>
  <sheets>
    <sheet name="Лист1" sheetId="1" r:id="rId1"/>
    <sheet name="Лист2" sheetId="2" r:id="rId2"/>
    <sheet name="Лист3" sheetId="3" r:id="rId3"/>
  </sheets>
  <calcPr calcId="125725"/>
</workbook>
</file>

<file path=xl/calcChain.xml><?xml version="1.0" encoding="utf-8"?>
<calcChain xmlns="http://schemas.openxmlformats.org/spreadsheetml/2006/main">
  <c r="G3" i="1"/>
  <c r="H3" s="1"/>
  <c r="G4"/>
  <c r="H4" s="1"/>
  <c r="F3"/>
  <c r="F4"/>
  <c r="G2"/>
  <c r="H2" s="1"/>
  <c r="F2"/>
</calcChain>
</file>

<file path=xl/sharedStrings.xml><?xml version="1.0" encoding="utf-8"?>
<sst xmlns="http://schemas.openxmlformats.org/spreadsheetml/2006/main" count="45" uniqueCount="32">
  <si>
    <t>№ номер п/п</t>
  </si>
  <si>
    <t>имя/тип</t>
  </si>
  <si>
    <t>заводской№</t>
  </si>
  <si>
    <t>Организация</t>
  </si>
  <si>
    <t>дата</t>
  </si>
  <si>
    <t>ПШ-1А</t>
  </si>
  <si>
    <t>ПШ-3А</t>
  </si>
  <si>
    <t>ПШ-1520</t>
  </si>
  <si>
    <t>ПШ-1520П</t>
  </si>
  <si>
    <t>ПШ-1520В</t>
  </si>
  <si>
    <t>ЦУП-3</t>
  </si>
  <si>
    <t>ЦУП-1-01</t>
  </si>
  <si>
    <t>08809</t>
  </si>
  <si>
    <t>МП 2511/0004-17</t>
  </si>
  <si>
    <t>ИНШК - 273И</t>
  </si>
  <si>
    <t>МП 14028-01 "ГСИ. Шаблон путеизмерительный ЦУП-3"</t>
  </si>
  <si>
    <t>Приложение Б 2668.000-01 ПС "Шаблон путеизмерительный ЦУП-1-01"</t>
  </si>
  <si>
    <t>МП 08809.000И</t>
  </si>
  <si>
    <t>Наименование</t>
  </si>
  <si>
    <t>Шаблон путевой</t>
  </si>
  <si>
    <t>Шаблон путеизмерительный</t>
  </si>
  <si>
    <t>Полное имя</t>
  </si>
  <si>
    <t>методика</t>
  </si>
  <si>
    <t>НЕВА-1П</t>
  </si>
  <si>
    <t>Шаблон электронный путевой</t>
  </si>
  <si>
    <t>МЛАС.401739.377 МП</t>
  </si>
  <si>
    <t>ШЭП</t>
  </si>
  <si>
    <t>ВДМА.663500.186 МП</t>
  </si>
  <si>
    <t>ВХ-4</t>
  </si>
  <si>
    <t>ПЧ-14</t>
  </si>
  <si>
    <t>ВРЗ завод</t>
  </si>
  <si>
    <t>022551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</si>
</sst>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  <scheme val="minor"/>
    </font>
    <font>
      <sz val="10"/>
      <color indexed="8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49" fontId="0" fillId="0" borderId="1" xfId="0" applyNumberFormat="1" applyBorder="1"/>
    <xf numFmtId="14" fontId="0" fillId="0" borderId="0" xfId="0" applyNumberFormat="1"/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Fill="1" applyBorder="1"/>
    <xf numFmtId="0" fontId="0" fillId="0" borderId="2" xfId="0" applyFill="1" applyBorder="1"/>
    <xf numFmtId="0" fontId="2" fillId="0" borderId="0" xfId="0" applyFont="1"/>
    <xf numFmtId="49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N81"/>
  <sheetViews>
    <sheetView tabSelected="1" workbookViewId="0">
      <selection activeCell="G20" sqref="G20"/>
    </sheetView>
  </sheetViews>
  <sheetFormatPr defaultRowHeight="15"/>
  <cols>
    <col min="1" max="1" width="14.28515625" customWidth="1"/>
    <col min="2" max="2" width="10.140625" customWidth="1"/>
    <col min="3" max="3" width="13.85546875" customWidth="1"/>
    <col min="4" max="4" width="14" customWidth="1"/>
    <col min="5" max="5" width="20" customWidth="1"/>
    <col min="6" max="6" width="15.28515625" customWidth="1"/>
    <col min="7" max="7" width="8" customWidth="1"/>
    <col min="8" max="8" width="20.140625" customWidth="1"/>
  </cols>
  <sheetData>
    <row r="1" spans="1:8">
      <c r="A1" s="5" t="s">
        <v>0</v>
      </c>
      <c r="B1" s="5" t="s">
        <v>4</v>
      </c>
      <c r="C1" s="5" t="s">
        <v>1</v>
      </c>
      <c r="D1" s="5" t="s">
        <v>2</v>
      </c>
      <c r="E1" s="5" t="s">
        <v>3</v>
      </c>
      <c r="F1" s="5" t="s">
        <v>22</v>
      </c>
      <c r="G1" s="5" t="s">
        <v>18</v>
      </c>
      <c r="H1" s="5" t="s">
        <v>21</v>
      </c>
    </row>
    <row r="2" spans="1:8">
      <c r="A2" s="1">
        <v>1</v>
      </c>
      <c r="B2" s="6">
        <v>44958</v>
      </c>
      <c r="C2" s="9" t="s">
        <v>8</v>
      </c>
      <c r="D2" s="10" t="s">
        <v>31</v>
      </c>
      <c r="E2" t="s">
        <v>28</v>
      </c>
      <c r="F2" t="str">
        <f>VLOOKUP(C2,Лист2!$A$1:$B$16,2,0)</f>
        <v>ИНШК - 273И</v>
      </c>
      <c r="G2" t="str">
        <f>VLOOKUP(C2,Лист2!$A$1:$C$16,3,0)</f>
        <v>Шаблон путевой</v>
      </c>
      <c r="H2" t="str">
        <f t="shared" ref="H2:H4" si="0">CONCATENATE(G2," ",C2)</f>
        <v>Шаблон путевой ПШ-1520П</v>
      </c>
    </row>
    <row r="3" spans="1:8">
      <c r="A3" s="1">
        <v>2</v>
      </c>
      <c r="B3" s="6">
        <v>44958</v>
      </c>
      <c r="C3" s="9" t="s">
        <v>6</v>
      </c>
      <c r="D3">
        <v>105803</v>
      </c>
      <c r="E3" t="s">
        <v>29</v>
      </c>
      <c r="F3" t="str">
        <f>VLOOKUP(C3,Лист2!$A$1:$B$16,2,0)</f>
        <v>МП 2511/0004-17</v>
      </c>
      <c r="G3" t="str">
        <f>VLOOKUP(C3,Лист2!$A$1:$C$16,3,0)</f>
        <v>Шаблон путевой</v>
      </c>
      <c r="H3" t="str">
        <f t="shared" si="0"/>
        <v>Шаблон путевой ПШ-3А</v>
      </c>
    </row>
    <row r="4" spans="1:8">
      <c r="A4" s="1">
        <v>3</v>
      </c>
      <c r="B4" s="6">
        <v>44958</v>
      </c>
      <c r="C4" s="9" t="s">
        <v>7</v>
      </c>
      <c r="D4">
        <v>27851</v>
      </c>
      <c r="E4" t="s">
        <v>30</v>
      </c>
      <c r="F4" t="str">
        <f>VLOOKUP(C4,Лист2!$A$1:$B$16,2,0)</f>
        <v>ИНШК - 273И</v>
      </c>
      <c r="G4" t="str">
        <f>VLOOKUP(C4,Лист2!$A$1:$C$16,3,0)</f>
        <v>Шаблон путевой</v>
      </c>
      <c r="H4" t="str">
        <f t="shared" si="0"/>
        <v>Шаблон путевой ПШ-1520</v>
      </c>
    </row>
    <row r="5" spans="1:8">
      <c r="A5" s="1"/>
      <c r="B5" s="6"/>
      <c r="C5" s="9"/>
    </row>
    <row r="6" spans="1:8">
      <c r="A6" s="1"/>
      <c r="B6" s="6"/>
      <c r="C6" s="9"/>
    </row>
    <row r="7" spans="1:8">
      <c r="A7" s="1"/>
      <c r="B7" s="6"/>
      <c r="C7" s="9"/>
    </row>
    <row r="8" spans="1:8">
      <c r="A8" s="1"/>
      <c r="B8" s="6"/>
      <c r="C8" s="9"/>
    </row>
    <row r="9" spans="1:8">
      <c r="A9" s="1"/>
      <c r="B9" s="6"/>
      <c r="C9" s="9"/>
    </row>
    <row r="10" spans="1:8">
      <c r="A10" s="1"/>
      <c r="B10" s="6"/>
      <c r="C10" s="9"/>
    </row>
    <row r="11" spans="1:8">
      <c r="A11" s="1"/>
      <c r="B11" s="6"/>
      <c r="C11" s="9"/>
    </row>
    <row r="12" spans="1:8">
      <c r="A12" s="1"/>
      <c r="B12" s="6"/>
      <c r="C12" s="9"/>
    </row>
    <row r="13" spans="1:8">
      <c r="A13" s="1"/>
      <c r="B13" s="6"/>
      <c r="C13" s="9"/>
    </row>
    <row r="14" spans="1:8">
      <c r="A14" s="1"/>
      <c r="B14" s="6"/>
      <c r="C14" s="9"/>
    </row>
    <row r="15" spans="1:8">
      <c r="A15" s="1"/>
      <c r="B15" s="6"/>
      <c r="C15" s="9"/>
    </row>
    <row r="16" spans="1:8">
      <c r="A16" s="1"/>
      <c r="B16" s="6"/>
      <c r="C16" s="9"/>
    </row>
    <row r="17" spans="1:3">
      <c r="A17" s="1"/>
      <c r="B17" s="6"/>
      <c r="C17" s="9"/>
    </row>
    <row r="18" spans="1:3">
      <c r="A18" s="1"/>
      <c r="B18" s="6"/>
      <c r="C18" s="9"/>
    </row>
    <row r="19" spans="1:3">
      <c r="A19" s="1"/>
      <c r="B19" s="6"/>
      <c r="C19" s="9"/>
    </row>
    <row r="20" spans="1:3">
      <c r="A20" s="1"/>
      <c r="B20" s="6"/>
      <c r="C20" s="9"/>
    </row>
    <row r="21" spans="1:3">
      <c r="A21" s="1"/>
      <c r="B21" s="6"/>
      <c r="C21" s="9"/>
    </row>
    <row r="22" spans="1:3">
      <c r="A22" s="1"/>
      <c r="B22" s="6"/>
      <c r="C22" s="9"/>
    </row>
    <row r="23" spans="1:3">
      <c r="A23" s="1"/>
      <c r="B23" s="6"/>
      <c r="C23" s="9"/>
    </row>
    <row r="24" spans="1:3">
      <c r="A24" s="1"/>
      <c r="B24" s="6"/>
      <c r="C24" s="9"/>
    </row>
    <row r="25" spans="1:3">
      <c r="A25" s="1"/>
      <c r="B25" s="6"/>
      <c r="C25" s="9"/>
    </row>
    <row r="26" spans="1:3">
      <c r="A26" s="1"/>
      <c r="B26" s="6"/>
      <c r="C26" s="9"/>
    </row>
    <row r="27" spans="1:3">
      <c r="A27" s="1"/>
      <c r="B27" s="6"/>
      <c r="C27" s="9"/>
    </row>
    <row r="28" spans="1:3">
      <c r="A28" s="1"/>
      <c r="B28" s="6"/>
      <c r="C28" s="9"/>
    </row>
    <row r="29" spans="1:3">
      <c r="A29" s="1"/>
      <c r="B29" s="6"/>
      <c r="C29" s="9"/>
    </row>
    <row r="30" spans="1:3">
      <c r="A30" s="1"/>
      <c r="B30" s="6"/>
      <c r="C30" s="9"/>
    </row>
    <row r="31" spans="1:3">
      <c r="A31" s="1"/>
      <c r="B31" s="6"/>
      <c r="C31" s="9"/>
    </row>
    <row r="32" spans="1:3">
      <c r="A32" s="1"/>
      <c r="B32" s="6"/>
      <c r="C32" s="9"/>
    </row>
    <row r="33" spans="1:40">
      <c r="A33" s="1"/>
      <c r="B33" s="6"/>
      <c r="C33" s="9"/>
    </row>
    <row r="34" spans="1:40">
      <c r="A34" s="1"/>
      <c r="B34" s="6"/>
      <c r="C34" s="9"/>
    </row>
    <row r="35" spans="1:40">
      <c r="A35" s="1"/>
      <c r="B35" s="6"/>
      <c r="C35" s="9"/>
    </row>
    <row r="36" spans="1:40">
      <c r="A36" s="1"/>
      <c r="B36" s="6"/>
      <c r="C36" s="9"/>
    </row>
    <row r="37" spans="1:40">
      <c r="A37" s="1"/>
      <c r="B37" s="6"/>
      <c r="C37" s="9"/>
    </row>
    <row r="38" spans="1:40">
      <c r="A38" s="1"/>
      <c r="B38" s="6"/>
      <c r="C38" s="9"/>
    </row>
    <row r="39" spans="1:40">
      <c r="A39" s="1"/>
      <c r="B39" s="6"/>
      <c r="C39" s="9"/>
    </row>
    <row r="40" spans="1:40">
      <c r="A40" s="1"/>
      <c r="B40" s="6"/>
      <c r="C40" s="9"/>
    </row>
    <row r="41" spans="1:40">
      <c r="A41" s="1"/>
      <c r="B41" s="6"/>
      <c r="C41" s="9"/>
    </row>
    <row r="42" spans="1:40">
      <c r="A42" s="1"/>
      <c r="B42" s="6"/>
      <c r="C42" s="9"/>
    </row>
    <row r="43" spans="1:40">
      <c r="A43" s="1"/>
      <c r="B43" s="6"/>
      <c r="C43" s="9"/>
      <c r="AN43" s="4"/>
    </row>
    <row r="44" spans="1:40">
      <c r="A44" s="1"/>
      <c r="B44" s="6"/>
      <c r="C44" s="9"/>
    </row>
    <row r="45" spans="1:40">
      <c r="A45" s="1"/>
      <c r="B45" s="6"/>
      <c r="C45" s="9"/>
    </row>
    <row r="46" spans="1:40">
      <c r="A46" s="1"/>
      <c r="B46" s="6"/>
      <c r="C46" s="9"/>
    </row>
    <row r="47" spans="1:40">
      <c r="A47" s="1"/>
      <c r="B47" s="6"/>
      <c r="C47" s="9"/>
    </row>
    <row r="48" spans="1:40">
      <c r="A48" s="1"/>
      <c r="B48" s="6"/>
      <c r="C48" s="9"/>
    </row>
    <row r="49" spans="1:3">
      <c r="A49" s="1"/>
      <c r="B49" s="6"/>
      <c r="C49" s="9"/>
    </row>
    <row r="50" spans="1:3">
      <c r="A50" s="1"/>
      <c r="B50" s="6"/>
      <c r="C50" s="9"/>
    </row>
    <row r="51" spans="1:3">
      <c r="A51" s="1"/>
      <c r="B51" s="6"/>
      <c r="C51" s="9"/>
    </row>
    <row r="52" spans="1:3">
      <c r="A52" s="1"/>
      <c r="B52" s="6"/>
      <c r="C52" s="9"/>
    </row>
    <row r="53" spans="1:3">
      <c r="A53" s="1"/>
      <c r="B53" s="6"/>
      <c r="C53" s="9"/>
    </row>
    <row r="54" spans="1:3">
      <c r="A54" s="1"/>
      <c r="B54" s="6"/>
      <c r="C54" s="9"/>
    </row>
    <row r="55" spans="1:3">
      <c r="A55" s="1"/>
      <c r="B55" s="6"/>
      <c r="C55" s="9"/>
    </row>
    <row r="56" spans="1:3">
      <c r="A56" s="1"/>
      <c r="B56" s="6"/>
      <c r="C56" s="9"/>
    </row>
    <row r="57" spans="1:3">
      <c r="A57" s="1"/>
      <c r="B57" s="6"/>
      <c r="C57" s="9"/>
    </row>
    <row r="58" spans="1:3">
      <c r="A58" s="1"/>
      <c r="B58" s="6"/>
      <c r="C58" s="9"/>
    </row>
    <row r="59" spans="1:3">
      <c r="A59" s="1"/>
      <c r="B59" s="6"/>
      <c r="C59" s="9"/>
    </row>
    <row r="60" spans="1:3">
      <c r="A60" s="1"/>
      <c r="B60" s="6"/>
      <c r="C60" s="9"/>
    </row>
    <row r="61" spans="1:3">
      <c r="A61" s="1"/>
      <c r="B61" s="6"/>
      <c r="C61" s="9"/>
    </row>
    <row r="62" spans="1:3">
      <c r="A62" s="1"/>
      <c r="B62" s="6"/>
      <c r="C62" s="9"/>
    </row>
    <row r="63" spans="1:3">
      <c r="A63" s="1"/>
      <c r="B63" s="6"/>
      <c r="C63" s="9"/>
    </row>
    <row r="64" spans="1:3">
      <c r="A64" s="1"/>
      <c r="B64" s="6"/>
      <c r="C64" s="9"/>
    </row>
    <row r="65" spans="1:3">
      <c r="A65" s="1"/>
      <c r="B65" s="6"/>
      <c r="C65" s="9"/>
    </row>
    <row r="66" spans="1:3">
      <c r="A66" s="1"/>
      <c r="B66" s="6"/>
      <c r="C66" s="9"/>
    </row>
    <row r="67" spans="1:3">
      <c r="A67" s="1"/>
      <c r="B67" s="6"/>
      <c r="C67" s="9"/>
    </row>
    <row r="68" spans="1:3">
      <c r="A68" s="1"/>
      <c r="B68" s="6"/>
      <c r="C68" s="9"/>
    </row>
    <row r="69" spans="1:3">
      <c r="A69" s="1"/>
      <c r="B69" s="6"/>
      <c r="C69" s="9"/>
    </row>
    <row r="70" spans="1:3">
      <c r="A70" s="1"/>
      <c r="B70" s="6"/>
      <c r="C70" s="9"/>
    </row>
    <row r="71" spans="1:3">
      <c r="A71" s="1"/>
      <c r="B71" s="6"/>
      <c r="C71" s="9"/>
    </row>
    <row r="72" spans="1:3">
      <c r="A72" s="1"/>
      <c r="B72" s="6"/>
      <c r="C72" s="9"/>
    </row>
    <row r="73" spans="1:3">
      <c r="A73" s="1"/>
      <c r="B73" s="6"/>
      <c r="C73" s="9"/>
    </row>
    <row r="74" spans="1:3">
      <c r="A74" s="1"/>
      <c r="B74" s="6"/>
      <c r="C74" s="9"/>
    </row>
    <row r="75" spans="1:3">
      <c r="A75" s="1"/>
      <c r="B75" s="6"/>
      <c r="C75" s="9"/>
    </row>
    <row r="76" spans="1:3">
      <c r="A76" s="1"/>
      <c r="B76" s="6"/>
      <c r="C76" s="9"/>
    </row>
    <row r="77" spans="1:3">
      <c r="A77" s="1"/>
      <c r="B77" s="6"/>
      <c r="C77" s="9"/>
    </row>
    <row r="78" spans="1:3">
      <c r="A78" s="1"/>
      <c r="B78" s="6"/>
      <c r="C78" s="9"/>
    </row>
    <row r="79" spans="1:3">
      <c r="A79" s="1"/>
      <c r="B79" s="6"/>
      <c r="C79" s="9"/>
    </row>
    <row r="80" spans="1:3">
      <c r="A80" s="1"/>
      <c r="B80" s="6"/>
      <c r="C80" s="9"/>
    </row>
    <row r="81" spans="1:3">
      <c r="A81" s="1"/>
      <c r="B81" s="6"/>
      <c r="C81" s="9"/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C10"/>
  <sheetViews>
    <sheetView workbookViewId="0">
      <selection activeCell="B16" sqref="B16"/>
    </sheetView>
  </sheetViews>
  <sheetFormatPr defaultRowHeight="15"/>
  <cols>
    <col min="1" max="1" width="12.42578125" customWidth="1"/>
    <col min="2" max="2" width="67.28515625" customWidth="1"/>
  </cols>
  <sheetData>
    <row r="1" spans="1:3">
      <c r="A1" s="2" t="s">
        <v>5</v>
      </c>
      <c r="B1" s="2" t="s">
        <v>13</v>
      </c>
      <c r="C1" t="s">
        <v>19</v>
      </c>
    </row>
    <row r="2" spans="1:3">
      <c r="A2" s="2" t="s">
        <v>6</v>
      </c>
      <c r="B2" s="2" t="s">
        <v>13</v>
      </c>
      <c r="C2" t="s">
        <v>19</v>
      </c>
    </row>
    <row r="3" spans="1:3">
      <c r="A3" s="2" t="s">
        <v>7</v>
      </c>
      <c r="B3" s="2" t="s">
        <v>14</v>
      </c>
      <c r="C3" t="s">
        <v>19</v>
      </c>
    </row>
    <row r="4" spans="1:3">
      <c r="A4" s="2" t="s">
        <v>8</v>
      </c>
      <c r="B4" s="2" t="s">
        <v>14</v>
      </c>
      <c r="C4" t="s">
        <v>19</v>
      </c>
    </row>
    <row r="5" spans="1:3">
      <c r="A5" s="2" t="s">
        <v>9</v>
      </c>
      <c r="B5" s="2" t="s">
        <v>14</v>
      </c>
      <c r="C5" t="s">
        <v>19</v>
      </c>
    </row>
    <row r="6" spans="1:3">
      <c r="A6" s="2" t="s">
        <v>10</v>
      </c>
      <c r="B6" s="2" t="s">
        <v>15</v>
      </c>
      <c r="C6" t="s">
        <v>20</v>
      </c>
    </row>
    <row r="7" spans="1:3">
      <c r="A7" s="2" t="s">
        <v>11</v>
      </c>
      <c r="B7" s="2" t="s">
        <v>16</v>
      </c>
      <c r="C7" t="s">
        <v>20</v>
      </c>
    </row>
    <row r="8" spans="1:3">
      <c r="A8" s="3" t="s">
        <v>12</v>
      </c>
      <c r="B8" s="2" t="s">
        <v>17</v>
      </c>
      <c r="C8" t="s">
        <v>20</v>
      </c>
    </row>
    <row r="9" spans="1:3">
      <c r="A9" s="7" t="s">
        <v>23</v>
      </c>
      <c r="B9" s="2" t="s">
        <v>25</v>
      </c>
      <c r="C9" t="s">
        <v>24</v>
      </c>
    </row>
    <row r="10" spans="1:3">
      <c r="A10" s="8" t="s">
        <v>26</v>
      </c>
      <c r="B10" s="8" t="s">
        <v>27</v>
      </c>
      <c r="C10" t="s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2023-02-01T06:42:53Z</dcterms:modified>
</cp:coreProperties>
</file>